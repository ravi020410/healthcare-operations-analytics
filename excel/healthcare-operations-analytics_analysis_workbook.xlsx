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b213703e888ca16/Documents/New project/healthcare-operations-analytics/excel/"/>
    </mc:Choice>
  </mc:AlternateContent>
  <xr:revisionPtr revIDLastSave="0" documentId="11_40FB0EF66BEC91588E6C983E76DD32F9CE8C6AEE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shboard" sheetId="1" r:id="rId1"/>
    <sheet name="Pivot Tables" sheetId="2" r:id="rId2"/>
    <sheet name="Pivot Charts" sheetId="3" r:id="rId3"/>
    <sheet name="Lookup Examples" sheetId="4" r:id="rId4"/>
    <sheet name="Data Cleaning" sheetId="5" r:id="rId5"/>
    <sheet name="Conditional Formatting" sheetId="6" r:id="rId6"/>
    <sheet name="KPI Tracking" sheetId="7" r:id="rId7"/>
    <sheet name="Executive Summ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/>
  <c r="D10" i="6"/>
  <c r="D9" i="6"/>
  <c r="D8" i="6"/>
  <c r="D7" i="6"/>
  <c r="D6" i="6"/>
  <c r="D5" i="6"/>
  <c r="D4" i="6"/>
  <c r="D3" i="6"/>
  <c r="D2" i="6"/>
  <c r="B3" i="4"/>
  <c r="B2" i="4"/>
</calcChain>
</file>

<file path=xl/sharedStrings.xml><?xml version="1.0" encoding="utf-8"?>
<sst xmlns="http://schemas.openxmlformats.org/spreadsheetml/2006/main" count="106" uniqueCount="64">
  <si>
    <t>Healthcare Analytics Dashboard</t>
  </si>
  <si>
    <t>Average Length of Stay</t>
  </si>
  <si>
    <t>Readmission Rate</t>
  </si>
  <si>
    <t>Bed Occupancy Rate</t>
  </si>
  <si>
    <t>Patient Wait Time</t>
  </si>
  <si>
    <t>4.0</t>
  </si>
  <si>
    <t>10.7%</t>
  </si>
  <si>
    <t>14.2%</t>
  </si>
  <si>
    <t>39.7</t>
  </si>
  <si>
    <t>Doctor Utilization</t>
  </si>
  <si>
    <t>Revenue per Department</t>
  </si>
  <si>
    <t>Cost per Patient</t>
  </si>
  <si>
    <t>Patient Satisfaction Score</t>
  </si>
  <si>
    <t>38.3%</t>
  </si>
  <si>
    <t>$17.8M</t>
  </si>
  <si>
    <t>6,720.2</t>
  </si>
  <si>
    <t>81.9</t>
  </si>
  <si>
    <t>Month</t>
  </si>
  <si>
    <t>Revenue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</si>
  <si>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</si>
  <si>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</si>
  <si>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</si>
  <si>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</si>
  <si>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</si>
  <si>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</si>
  <si>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</si>
  <si>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</si>
  <si>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</si>
  <si>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</si>
  <si>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</si>
  <si>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</si>
  <si>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</si>
  <si>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</si>
  <si>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</si>
  <si>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</si>
  <si>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</si>
  <si>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</si>
  <si>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Metric</t>
  </si>
  <si>
    <t>Value</t>
  </si>
  <si>
    <t>Emergency Admission Rate</t>
  </si>
  <si>
    <t>Discharge Efficiency</t>
  </si>
  <si>
    <t>Lookup Type</t>
  </si>
  <si>
    <t>Example Formula</t>
  </si>
  <si>
    <t>Purpose</t>
  </si>
  <si>
    <t>XLOOKUP</t>
  </si>
  <si>
    <t>Return a product or entity label</t>
  </si>
  <si>
    <t>INDEX/MATCH</t>
  </si>
  <si>
    <t>Flexible KPI retrieval</t>
  </si>
  <si>
    <t>Issue</t>
  </si>
  <si>
    <t>Resolution</t>
  </si>
  <si>
    <t>Missing keys</t>
  </si>
  <si>
    <t>Rows removed from cleaned fact tables</t>
  </si>
  <si>
    <t>Duplicate records</t>
  </si>
  <si>
    <t>Deduplicated on primary business identifier</t>
  </si>
  <si>
    <t>Outliers</t>
  </si>
  <si>
    <t>Retained when plausible; capped only when impossible</t>
  </si>
  <si>
    <t>KPI</t>
  </si>
  <si>
    <t>Current</t>
  </si>
  <si>
    <t>Target</t>
  </si>
  <si>
    <t>Status</t>
  </si>
  <si>
    <t>Executive Summary</t>
  </si>
  <si>
    <t>This workbook contains dashboard cards, pivot-style summaries, chart examples, lookup formulas, cleaning notes, conditional formatting, KPI tracking, and executive recommendations.</t>
  </si>
  <si>
    <t>Recommendation</t>
  </si>
  <si>
    <t>Publish alongside SQL, notebooks, reports, and dashboard 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</si>
</sst>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386411"/>
      <name val="Calibri"/>
    </font>
    <font>
      <b/>
      <sz val="11"/>
      <color rgb="FFFFFFFF"/>
      <name val="Calibri"/>
    </font>
    <font>
      <b/>
      <sz val="14"/>
      <color rgb="FF3864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86411"/>
      </patternFill>
    </fill>
    <fill>
      <patternFill patternType="solid">
        <fgColor rgb="FFF4F5F7"/>
      </patternFill>
    </fill>
  </fills>
  <borders count="2">
    <border>
      <left/>
      <right/>
      <top/>
      <bottom/>
      <diagonal/>
    </border>
    <border>
      <left style="thin">
        <color rgb="FFD7DBE7"/>
      </left>
      <right style="thin">
        <color rgb="FFD7DBE7"/>
      </right>
      <top style="thin">
        <color rgb="FFD7DBE7"/>
      </top>
      <bottom style="thin">
        <color rgb="FFD7DBE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Dashboard!$A$11:$A$28</c:f>
              <c:strCache>
                <c:ptCount val="18"/>
                <c:pt idx="0">
                  <c:v>Jul 2024</c:v>
                </c:pt>
                <c:pt idx="1">
                  <c:v>Aug 2024</c:v>
                </c:pt>
                <c:pt idx="2">
                  <c:v>Sep 2024</c:v>
                </c:pt>
                <c:pt idx="3">
                  <c:v>Oct 2024</c:v>
                </c:pt>
                <c:pt idx="4">
                  <c:v>Nov 2024</c:v>
                </c:pt>
                <c:pt idx="5">
                  <c:v>Dec 2024</c:v>
                </c:pt>
                <c:pt idx="6">
                  <c:v>Jan 2025</c:v>
                </c:pt>
                <c:pt idx="7">
                  <c:v>Feb 2025</c:v>
                </c:pt>
                <c:pt idx="8">
                  <c:v>Mar 2025</c:v>
                </c:pt>
                <c:pt idx="9">
                  <c:v>Apr 2025</c:v>
                </c:pt>
                <c:pt idx="10">
                  <c:v>May 2025</c:v>
                </c:pt>
                <c:pt idx="11">
                  <c:v>Jun 2025</c:v>
                </c:pt>
                <c:pt idx="12">
                  <c:v>Jul 2025</c:v>
                </c:pt>
                <c:pt idx="13">
                  <c:v>Aug 2025</c:v>
                </c:pt>
                <c:pt idx="14">
                  <c:v>Sep 2025</c:v>
                </c:pt>
                <c:pt idx="15">
                  <c:v>Oct 2025</c:v>
                </c:pt>
                <c:pt idx="16">
                  <c:v>Nov 2025</c:v>
                </c:pt>
                <c:pt idx="17">
                  <c:v>Dec 2025</c:v>
                </c:pt>
              </c:strCache>
            </c:strRef>
          </c:cat>
          <c:val>
            <c:numRef>
              <c:f>Dashboard!$B$11:$B$28</c:f>
              <c:numCache>
                <c:formatCode>General</c:formatCode>
                <c:ptCount val="18"/>
                <c:pt idx="0">
                  <c:v>4426463.18</c:v>
                </c:pt>
                <c:pt idx="1">
                  <c:v>4323556.79</c:v>
                </c:pt>
                <c:pt idx="2">
                  <c:v>4228165.5599999996</c:v>
                </c:pt>
                <c:pt idx="3">
                  <c:v>4726450.75</c:v>
                </c:pt>
                <c:pt idx="4">
                  <c:v>4596247.95</c:v>
                </c:pt>
                <c:pt idx="5">
                  <c:v>4207342.03</c:v>
                </c:pt>
                <c:pt idx="6">
                  <c:v>4536148.8600000003</c:v>
                </c:pt>
                <c:pt idx="7">
                  <c:v>4070157.88</c:v>
                </c:pt>
                <c:pt idx="8">
                  <c:v>4728631.43</c:v>
                </c:pt>
                <c:pt idx="9">
                  <c:v>4338319.79</c:v>
                </c:pt>
                <c:pt idx="10">
                  <c:v>4658261.9000000004</c:v>
                </c:pt>
                <c:pt idx="11">
                  <c:v>4501662.3099999996</c:v>
                </c:pt>
                <c:pt idx="12">
                  <c:v>4484347.38</c:v>
                </c:pt>
                <c:pt idx="13">
                  <c:v>4267611.99</c:v>
                </c:pt>
                <c:pt idx="14">
                  <c:v>4447484.1900000004</c:v>
                </c:pt>
                <c:pt idx="15">
                  <c:v>4424283.22</c:v>
                </c:pt>
                <c:pt idx="16">
                  <c:v>4717080.45</c:v>
                </c:pt>
                <c:pt idx="17">
                  <c:v>4385273.38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D3-42FF-9BB1-A2006333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KPI Values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'KPI Tracking'!$B$1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'KPI Tracking'!$A$2:$A$8</c:f>
              <c:strCache>
                <c:ptCount val="7"/>
                <c:pt idx="0">
                  <c:v>Average Length of Stay</c:v>
                </c:pt>
                <c:pt idx="1">
                  <c:v>Readmission Rate</c:v>
                </c:pt>
                <c:pt idx="2">
                  <c:v>Bed Occupancy Rate</c:v>
                </c:pt>
                <c:pt idx="3">
                  <c:v>Patient Wait Time</c:v>
                </c:pt>
                <c:pt idx="4">
                  <c:v>Doctor Utilization</c:v>
                </c:pt>
                <c:pt idx="5">
                  <c:v>Revenue per Department</c:v>
                </c:pt>
                <c:pt idx="6">
                  <c:v>Cost per Patient</c:v>
                </c:pt>
              </c:strCache>
            </c:strRef>
          </c:cat>
          <c:val>
            <c:numRef>
              <c:f>'KPI Tracking'!$B$2:$B$8</c:f>
              <c:numCache>
                <c:formatCode>General</c:formatCode>
                <c:ptCount val="7"/>
                <c:pt idx="0">
                  <c:v>4.0264628109032348</c:v>
                </c:pt>
                <c:pt idx="1">
                  <c:v>0.10652722826411121</c:v>
                </c:pt>
                <c:pt idx="2">
                  <c:v>0.14197711753901379</c:v>
                </c:pt>
                <c:pt idx="3">
                  <c:v>39.734656142513472</c:v>
                </c:pt>
                <c:pt idx="4">
                  <c:v>0.38277777777777777</c:v>
                </c:pt>
                <c:pt idx="5">
                  <c:v>17844693.23833333</c:v>
                </c:pt>
                <c:pt idx="6">
                  <c:v>6720.1984671865512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C-40B8-988D-DDCF1C153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topLeftCell="A5" workbookViewId="0">
      <selection activeCell="A4" sqref="A4:B4"/>
    </sheetView>
  </sheetViews>
  <sheetFormatPr defaultRowHeight="14.5" x14ac:dyDescent="0.35"/>
  <cols>
    <col min="1" max="8" width="22" customWidth="1"/>
  </cols>
  <sheetData>
    <row r="1" spans="1:8" x14ac:dyDescent="0.35">
      <c r="A1" s="8" t="s">
        <v>0</v>
      </c>
      <c r="B1" s="6"/>
      <c r="C1" s="6"/>
      <c r="D1" s="6"/>
      <c r="E1" s="6"/>
      <c r="F1" s="6"/>
      <c r="G1" s="6"/>
      <c r="H1" s="6"/>
    </row>
    <row r="2" spans="1:8" x14ac:dyDescent="0.35">
      <c r="A2" s="2"/>
      <c r="B2" s="2"/>
      <c r="C2" s="2"/>
      <c r="D2" s="2"/>
      <c r="E2" s="2"/>
      <c r="F2" s="2"/>
      <c r="G2" s="2"/>
      <c r="H2" s="2"/>
    </row>
    <row r="3" spans="1:8" x14ac:dyDescent="0.35">
      <c r="A3" s="7" t="s">
        <v>1</v>
      </c>
      <c r="B3" s="6"/>
      <c r="C3" s="7" t="s">
        <v>2</v>
      </c>
      <c r="D3" s="6"/>
      <c r="E3" s="7" t="s">
        <v>3</v>
      </c>
      <c r="F3" s="6"/>
      <c r="G3" s="7" t="s">
        <v>4</v>
      </c>
      <c r="H3" s="6"/>
    </row>
    <row r="4" spans="1:8" x14ac:dyDescent="0.35">
      <c r="A4" s="5" t="s">
        <v>5</v>
      </c>
      <c r="B4" s="6"/>
      <c r="C4" s="5" t="s">
        <v>6</v>
      </c>
      <c r="D4" s="6"/>
      <c r="E4" s="5" t="s">
        <v>7</v>
      </c>
      <c r="F4" s="6"/>
      <c r="G4" s="5" t="s">
        <v>8</v>
      </c>
      <c r="H4" s="6"/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7" t="s">
        <v>9</v>
      </c>
      <c r="B6" s="6"/>
      <c r="C6" s="7" t="s">
        <v>10</v>
      </c>
      <c r="D6" s="6"/>
      <c r="E6" s="7" t="s">
        <v>11</v>
      </c>
      <c r="F6" s="6"/>
      <c r="G6" s="7" t="s">
        <v>12</v>
      </c>
      <c r="H6" s="6"/>
    </row>
    <row r="7" spans="1:8" x14ac:dyDescent="0.35">
      <c r="A7" s="5" t="s">
        <v>13</v>
      </c>
      <c r="B7" s="6"/>
      <c r="C7" s="5" t="s">
        <v>14</v>
      </c>
      <c r="D7" s="6"/>
      <c r="E7" s="5" t="s">
        <v>15</v>
      </c>
      <c r="F7" s="6"/>
      <c r="G7" s="5" t="s">
        <v>16</v>
      </c>
      <c r="H7" s="6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 t="s">
        <v>17</v>
      </c>
      <c r="B10" s="2" t="s">
        <v>18</v>
      </c>
      <c r="C10" s="2"/>
      <c r="D10" s="2"/>
      <c r="E10" s="2"/>
      <c r="F10" s="2"/>
      <c r="G10" s="2"/>
      <c r="H10" s="2"/>
    </row>
    <row r="11" spans="1:8" x14ac:dyDescent="0.35">
      <c r="A11" s="2" t="s">
        <v>19</v>
      </c>
      <c r="B11" s="2">
        <v>4426463.18</v>
      </c>
      <c r="C11" s="2"/>
      <c r="D11" s="2"/>
      <c r="E11" s="2"/>
      <c r="F11" s="2"/>
      <c r="G11" s="2"/>
      <c r="H11" s="2"/>
    </row>
    <row r="12" spans="1:8" x14ac:dyDescent="0.35">
      <c r="A12" s="2" t="s">
        <v>20</v>
      </c>
      <c r="B12" s="2">
        <v>4323556.79</v>
      </c>
      <c r="C12" s="2"/>
      <c r="D12" s="2"/>
      <c r="E12" s="2"/>
      <c r="F12" s="2"/>
      <c r="G12" s="2"/>
      <c r="H12" s="2"/>
    </row>
    <row r="13" spans="1:8" x14ac:dyDescent="0.35">
      <c r="A13" s="2" t="s">
        <v>21</v>
      </c>
      <c r="B13" s="2">
        <v>4228165.5599999996</v>
      </c>
      <c r="C13" s="2"/>
      <c r="D13" s="2"/>
      <c r="E13" s="2"/>
      <c r="F13" s="2"/>
      <c r="G13" s="2"/>
      <c r="H13" s="2"/>
    </row>
    <row r="14" spans="1:8" x14ac:dyDescent="0.35">
      <c r="A14" s="2" t="s">
        <v>22</v>
      </c>
      <c r="B14" s="2">
        <v>4726450.75</v>
      </c>
      <c r="C14" s="2"/>
      <c r="D14" s="2"/>
      <c r="E14" s="2"/>
      <c r="F14" s="2"/>
      <c r="G14" s="2"/>
      <c r="H14" s="2"/>
    </row>
    <row r="15" spans="1:8" x14ac:dyDescent="0.35">
      <c r="A15" s="2" t="s">
        <v>23</v>
      </c>
      <c r="B15" s="2">
        <v>4596247.95</v>
      </c>
      <c r="C15" s="2"/>
      <c r="D15" s="2"/>
      <c r="E15" s="2"/>
      <c r="F15" s="2"/>
      <c r="G15" s="2"/>
      <c r="H15" s="2"/>
    </row>
    <row r="16" spans="1:8" x14ac:dyDescent="0.35">
      <c r="A16" s="2" t="s">
        <v>24</v>
      </c>
      <c r="B16" s="2">
        <v>4207342.03</v>
      </c>
      <c r="C16" s="2"/>
      <c r="D16" s="2"/>
      <c r="E16" s="2"/>
      <c r="F16" s="2"/>
      <c r="G16" s="2"/>
      <c r="H16" s="2"/>
    </row>
    <row r="17" spans="1:8" x14ac:dyDescent="0.35">
      <c r="A17" s="2" t="s">
        <v>25</v>
      </c>
      <c r="B17" s="2">
        <v>4536148.8600000003</v>
      </c>
      <c r="C17" s="2"/>
      <c r="D17" s="2"/>
      <c r="E17" s="2"/>
      <c r="F17" s="2"/>
      <c r="G17" s="2"/>
      <c r="H17" s="2"/>
    </row>
    <row r="18" spans="1:8" x14ac:dyDescent="0.35">
      <c r="A18" s="2" t="s">
        <v>26</v>
      </c>
      <c r="B18" s="2">
        <v>4070157.88</v>
      </c>
      <c r="C18" s="2"/>
      <c r="D18" s="2"/>
      <c r="E18" s="2"/>
      <c r="F18" s="2"/>
      <c r="G18" s="2"/>
      <c r="H18" s="2"/>
    </row>
    <row r="19" spans="1:8" x14ac:dyDescent="0.35">
      <c r="A19" s="2" t="s">
        <v>27</v>
      </c>
      <c r="B19" s="2">
        <v>4728631.43</v>
      </c>
      <c r="C19" s="2"/>
      <c r="D19" s="2"/>
      <c r="E19" s="2"/>
      <c r="F19" s="2"/>
      <c r="G19" s="2"/>
      <c r="H19" s="2"/>
    </row>
    <row r="20" spans="1:8" x14ac:dyDescent="0.35">
      <c r="A20" s="2" t="s">
        <v>28</v>
      </c>
      <c r="B20" s="2">
        <v>4338319.79</v>
      </c>
      <c r="C20" s="2"/>
      <c r="D20" s="2"/>
      <c r="E20" s="2"/>
      <c r="F20" s="2"/>
      <c r="G20" s="2"/>
      <c r="H20" s="2"/>
    </row>
    <row r="21" spans="1:8" x14ac:dyDescent="0.35">
      <c r="A21" s="2" t="s">
        <v>29</v>
      </c>
      <c r="B21" s="2">
        <v>4658261.9000000004</v>
      </c>
      <c r="C21" s="2"/>
      <c r="D21" s="2"/>
      <c r="E21" s="2"/>
      <c r="F21" s="2"/>
      <c r="G21" s="2"/>
      <c r="H21" s="2"/>
    </row>
    <row r="22" spans="1:8" x14ac:dyDescent="0.35">
      <c r="A22" s="2" t="s">
        <v>30</v>
      </c>
      <c r="B22" s="2">
        <v>4501662.3099999996</v>
      </c>
      <c r="C22" s="2"/>
      <c r="D22" s="2"/>
      <c r="E22" s="2"/>
      <c r="F22" s="2"/>
      <c r="G22" s="2"/>
      <c r="H22" s="2"/>
    </row>
    <row r="23" spans="1:8" x14ac:dyDescent="0.35">
      <c r="A23" s="2" t="s">
        <v>31</v>
      </c>
      <c r="B23" s="2">
        <v>4484347.38</v>
      </c>
      <c r="C23" s="2"/>
      <c r="D23" s="2"/>
      <c r="E23" s="2"/>
      <c r="F23" s="2"/>
      <c r="G23" s="2"/>
      <c r="H23" s="2"/>
    </row>
    <row r="24" spans="1:8" x14ac:dyDescent="0.35">
      <c r="A24" s="2" t="s">
        <v>32</v>
      </c>
      <c r="B24" s="2">
        <v>4267611.99</v>
      </c>
      <c r="C24" s="2"/>
      <c r="D24" s="2"/>
      <c r="E24" s="2"/>
      <c r="F24" s="2"/>
      <c r="G24" s="2"/>
      <c r="H24" s="2"/>
    </row>
    <row r="25" spans="1:8" x14ac:dyDescent="0.35">
      <c r="A25" s="2" t="s">
        <v>33</v>
      </c>
      <c r="B25" s="2">
        <v>4447484.1900000004</v>
      </c>
      <c r="C25" s="2"/>
      <c r="D25" s="2"/>
      <c r="E25" s="2"/>
      <c r="F25" s="2"/>
      <c r="G25" s="2"/>
      <c r="H25" s="2"/>
    </row>
    <row r="26" spans="1:8" x14ac:dyDescent="0.35">
      <c r="A26" s="2" t="s">
        <v>34</v>
      </c>
      <c r="B26" s="2">
        <v>4424283.22</v>
      </c>
      <c r="C26" s="2"/>
      <c r="D26" s="2"/>
      <c r="E26" s="2"/>
      <c r="F26" s="2"/>
      <c r="G26" s="2"/>
      <c r="H26" s="2"/>
    </row>
    <row r="27" spans="1:8" x14ac:dyDescent="0.35">
      <c r="A27" s="2" t="s">
        <v>35</v>
      </c>
      <c r="B27" s="2">
        <v>4717080.45</v>
      </c>
      <c r="C27" s="2"/>
      <c r="D27" s="2"/>
      <c r="E27" s="2"/>
      <c r="F27" s="2"/>
      <c r="G27" s="2"/>
      <c r="H27" s="2"/>
    </row>
    <row r="28" spans="1:8" x14ac:dyDescent="0.35">
      <c r="A28" s="2" t="s">
        <v>36</v>
      </c>
      <c r="B28" s="2">
        <v>4385273.38</v>
      </c>
      <c r="C28" s="2"/>
      <c r="D28" s="2"/>
      <c r="E28" s="2"/>
      <c r="F28" s="2"/>
      <c r="G28" s="2"/>
      <c r="H28" s="2"/>
    </row>
  </sheetData>
  <mergeCells count="17">
    <mergeCell ref="A1:H1"/>
    <mergeCell ref="A6:B6"/>
    <mergeCell ref="C3:D3"/>
    <mergeCell ref="A3:B3"/>
    <mergeCell ref="G3:H3"/>
    <mergeCell ref="E3:F3"/>
    <mergeCell ref="C4:D4"/>
    <mergeCell ref="C7:D7"/>
    <mergeCell ref="A7:B7"/>
    <mergeCell ref="G7:H7"/>
    <mergeCell ref="E7:F7"/>
    <mergeCell ref="G6:H6"/>
    <mergeCell ref="A4:B4"/>
    <mergeCell ref="G4:H4"/>
    <mergeCell ref="E4:F4"/>
    <mergeCell ref="E6:F6"/>
    <mergeCell ref="C6:D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/>
  </sheetViews>
  <sheetFormatPr defaultRowHeight="14.5" x14ac:dyDescent="0.35"/>
  <cols>
    <col min="1" max="2" width="22" customWidth="1"/>
  </cols>
  <sheetData>
    <row r="1" spans="1:2" x14ac:dyDescent="0.35">
      <c r="A1" s="3" t="s">
        <v>37</v>
      </c>
      <c r="B1" s="3" t="s">
        <v>38</v>
      </c>
    </row>
    <row r="2" spans="1:2" x14ac:dyDescent="0.35">
      <c r="A2" s="4" t="s">
        <v>1</v>
      </c>
      <c r="B2" s="4">
        <v>4.0264628109032348</v>
      </c>
    </row>
    <row r="3" spans="1:2" x14ac:dyDescent="0.35">
      <c r="A3" s="4" t="s">
        <v>2</v>
      </c>
      <c r="B3" s="4">
        <v>0.10652722826411121</v>
      </c>
    </row>
    <row r="4" spans="1:2" x14ac:dyDescent="0.35">
      <c r="A4" s="4" t="s">
        <v>3</v>
      </c>
      <c r="B4" s="4">
        <v>0.14197711753901379</v>
      </c>
    </row>
    <row r="5" spans="1:2" x14ac:dyDescent="0.35">
      <c r="A5" s="4" t="s">
        <v>4</v>
      </c>
      <c r="B5" s="4">
        <v>39.734656142513472</v>
      </c>
    </row>
    <row r="6" spans="1:2" x14ac:dyDescent="0.35">
      <c r="A6" s="4" t="s">
        <v>9</v>
      </c>
      <c r="B6" s="4">
        <v>0.38277777777777777</v>
      </c>
    </row>
    <row r="7" spans="1:2" ht="29" x14ac:dyDescent="0.35">
      <c r="A7" s="4" t="s">
        <v>10</v>
      </c>
      <c r="B7" s="4">
        <v>17844693.23833333</v>
      </c>
    </row>
    <row r="8" spans="1:2" x14ac:dyDescent="0.35">
      <c r="A8" s="4" t="s">
        <v>11</v>
      </c>
      <c r="B8" s="4">
        <v>6720.1984671865512</v>
      </c>
    </row>
    <row r="9" spans="1:2" x14ac:dyDescent="0.35">
      <c r="A9" s="4" t="s">
        <v>12</v>
      </c>
      <c r="B9" s="4">
        <v>81.861425714285716</v>
      </c>
    </row>
    <row r="10" spans="1:2" ht="29" x14ac:dyDescent="0.35">
      <c r="A10" s="4" t="s">
        <v>39</v>
      </c>
      <c r="B10" s="4">
        <v>0.38085770523092832</v>
      </c>
    </row>
    <row r="11" spans="1:2" x14ac:dyDescent="0.35">
      <c r="A11" s="4" t="s">
        <v>40</v>
      </c>
      <c r="B11" s="4">
        <v>87.88715231524742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showGridLines="0" workbookViewId="0"/>
  </sheetViews>
  <sheetFormatPr defaultRowHeight="14.5" x14ac:dyDescent="0.35"/>
  <cols>
    <col min="1" max="2" width="22" customWidth="1"/>
  </cols>
  <sheetData>
    <row r="1" spans="1:2" x14ac:dyDescent="0.35">
      <c r="A1" s="3" t="s">
        <v>37</v>
      </c>
      <c r="B1" s="3" t="s">
        <v>38</v>
      </c>
    </row>
    <row r="2" spans="1:2" x14ac:dyDescent="0.35">
      <c r="A2" s="4" t="s">
        <v>1</v>
      </c>
      <c r="B2" s="4">
        <v>4.0264628109032348</v>
      </c>
    </row>
    <row r="3" spans="1:2" x14ac:dyDescent="0.35">
      <c r="A3" s="4" t="s">
        <v>2</v>
      </c>
      <c r="B3" s="4">
        <v>0.10652722826411121</v>
      </c>
    </row>
    <row r="4" spans="1:2" x14ac:dyDescent="0.35">
      <c r="A4" s="4" t="s">
        <v>3</v>
      </c>
      <c r="B4" s="4">
        <v>0.14197711753901379</v>
      </c>
    </row>
    <row r="5" spans="1:2" x14ac:dyDescent="0.35">
      <c r="A5" s="4" t="s">
        <v>4</v>
      </c>
      <c r="B5" s="4">
        <v>39.734656142513472</v>
      </c>
    </row>
    <row r="6" spans="1:2" x14ac:dyDescent="0.35">
      <c r="A6" s="4" t="s">
        <v>9</v>
      </c>
      <c r="B6" s="4">
        <v>0.38277777777777777</v>
      </c>
    </row>
    <row r="7" spans="1:2" ht="29" x14ac:dyDescent="0.35">
      <c r="A7" s="4" t="s">
        <v>10</v>
      </c>
      <c r="B7" s="4">
        <v>17844693.23833333</v>
      </c>
    </row>
    <row r="8" spans="1:2" x14ac:dyDescent="0.35">
      <c r="A8" s="4" t="s">
        <v>11</v>
      </c>
      <c r="B8" s="4">
        <v>6720.1984671865512</v>
      </c>
    </row>
    <row r="9" spans="1:2" x14ac:dyDescent="0.35">
      <c r="A9" s="4" t="s">
        <v>12</v>
      </c>
      <c r="B9" s="4">
        <v>81.861425714285716</v>
      </c>
    </row>
    <row r="10" spans="1:2" ht="29" x14ac:dyDescent="0.35">
      <c r="A10" s="4" t="s">
        <v>39</v>
      </c>
      <c r="B10" s="4">
        <v>0.38085770523092832</v>
      </c>
    </row>
    <row r="11" spans="1:2" x14ac:dyDescent="0.35">
      <c r="A11" s="4" t="s">
        <v>40</v>
      </c>
      <c r="B11" s="4">
        <v>87.88715231524742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showGridLines="0" workbookViewId="0"/>
  </sheetViews>
  <sheetFormatPr defaultRowHeight="14.5" x14ac:dyDescent="0.35"/>
  <cols>
    <col min="1" max="3" width="22" customWidth="1"/>
  </cols>
  <sheetData>
    <row r="1" spans="1:3" x14ac:dyDescent="0.35">
      <c r="A1" s="2" t="s">
        <v>41</v>
      </c>
      <c r="B1" s="2" t="s">
        <v>42</v>
      </c>
      <c r="C1" s="2" t="s">
        <v>43</v>
      </c>
    </row>
    <row r="2" spans="1:3" ht="29" x14ac:dyDescent="0.35">
      <c r="A2" s="2" t="s">
        <v>44</v>
      </c>
      <c r="B2" s="2" t="e">
        <f ca="1">_xludf.XLOOKUP(A2,#REF!,#REF!)</f>
        <v>#NAME?</v>
      </c>
      <c r="C2" s="2" t="s">
        <v>45</v>
      </c>
    </row>
    <row r="3" spans="1:3" x14ac:dyDescent="0.35">
      <c r="A3" s="2" t="s">
        <v>46</v>
      </c>
      <c r="B3" s="2" t="e">
        <f>INDEX(metric_values,MATCH(selected_metric,metric_names,0))</f>
        <v>#NAME?</v>
      </c>
      <c r="C3" s="2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showGridLines="0" workbookViewId="0"/>
  </sheetViews>
  <sheetFormatPr defaultRowHeight="14.5" x14ac:dyDescent="0.35"/>
  <cols>
    <col min="1" max="2" width="22" customWidth="1"/>
  </cols>
  <sheetData>
    <row r="1" spans="1:2" x14ac:dyDescent="0.35">
      <c r="A1" s="2" t="s">
        <v>48</v>
      </c>
      <c r="B1" s="2" t="s">
        <v>49</v>
      </c>
    </row>
    <row r="2" spans="1:2" ht="29" x14ac:dyDescent="0.35">
      <c r="A2" s="2" t="s">
        <v>50</v>
      </c>
      <c r="B2" s="2" t="s">
        <v>51</v>
      </c>
    </row>
    <row r="3" spans="1:2" ht="29" x14ac:dyDescent="0.35">
      <c r="A3" s="2" t="s">
        <v>52</v>
      </c>
      <c r="B3" s="2" t="s">
        <v>53</v>
      </c>
    </row>
    <row r="4" spans="1:2" ht="43.5" x14ac:dyDescent="0.35">
      <c r="A4" s="2" t="s">
        <v>54</v>
      </c>
      <c r="B4" s="2" t="s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showGridLines="0" workbookViewId="0"/>
  </sheetViews>
  <sheetFormatPr defaultRowHeight="14.5" x14ac:dyDescent="0.35"/>
  <cols>
    <col min="1" max="4" width="22" customWidth="1"/>
  </cols>
  <sheetData>
    <row r="1" spans="1:4" x14ac:dyDescent="0.35">
      <c r="A1" s="2" t="s">
        <v>56</v>
      </c>
      <c r="B1" s="2" t="s">
        <v>57</v>
      </c>
      <c r="C1" s="2" t="s">
        <v>58</v>
      </c>
      <c r="D1" s="2" t="s">
        <v>59</v>
      </c>
    </row>
    <row r="2" spans="1:4" x14ac:dyDescent="0.35">
      <c r="A2" s="2" t="s">
        <v>1</v>
      </c>
      <c r="B2" s="2">
        <v>4.0264628109032348</v>
      </c>
      <c r="C2" s="2">
        <v>4.2277859514483964</v>
      </c>
      <c r="D2" s="2" t="str">
        <f t="shared" ref="D2:D11" si="0">IF(B2&gt;=C2,"On Track","Watch")</f>
        <v>Watch</v>
      </c>
    </row>
    <row r="3" spans="1:4" x14ac:dyDescent="0.35">
      <c r="A3" s="2" t="s">
        <v>2</v>
      </c>
      <c r="B3" s="2">
        <v>0.10652722826411121</v>
      </c>
      <c r="C3" s="2">
        <v>0.11185358967731671</v>
      </c>
      <c r="D3" s="2" t="str">
        <f t="shared" si="0"/>
        <v>Watch</v>
      </c>
    </row>
    <row r="4" spans="1:4" x14ac:dyDescent="0.35">
      <c r="A4" s="2" t="s">
        <v>3</v>
      </c>
      <c r="B4" s="2">
        <v>0.14197711753901379</v>
      </c>
      <c r="C4" s="2">
        <v>0.14907597341596451</v>
      </c>
      <c r="D4" s="2" t="str">
        <f t="shared" si="0"/>
        <v>Watch</v>
      </c>
    </row>
    <row r="5" spans="1:4" x14ac:dyDescent="0.35">
      <c r="A5" s="2" t="s">
        <v>4</v>
      </c>
      <c r="B5" s="2">
        <v>39.734656142513472</v>
      </c>
      <c r="C5" s="2">
        <v>41.721388949639149</v>
      </c>
      <c r="D5" s="2" t="str">
        <f t="shared" si="0"/>
        <v>Watch</v>
      </c>
    </row>
    <row r="6" spans="1:4" x14ac:dyDescent="0.35">
      <c r="A6" s="2" t="s">
        <v>9</v>
      </c>
      <c r="B6" s="2">
        <v>0.38277777777777777</v>
      </c>
      <c r="C6" s="2">
        <v>0.40191666666666681</v>
      </c>
      <c r="D6" s="2" t="str">
        <f t="shared" si="0"/>
        <v>Watch</v>
      </c>
    </row>
    <row r="7" spans="1:4" ht="29" x14ac:dyDescent="0.35">
      <c r="A7" s="2" t="s">
        <v>10</v>
      </c>
      <c r="B7" s="2">
        <v>17844693.23833333</v>
      </c>
      <c r="C7" s="2">
        <v>18736927.900249999</v>
      </c>
      <c r="D7" s="2" t="str">
        <f t="shared" si="0"/>
        <v>Watch</v>
      </c>
    </row>
    <row r="8" spans="1:4" x14ac:dyDescent="0.35">
      <c r="A8" s="2" t="s">
        <v>11</v>
      </c>
      <c r="B8" s="2">
        <v>6720.1984671865512</v>
      </c>
      <c r="C8" s="2">
        <v>7056.2083905458794</v>
      </c>
      <c r="D8" s="2" t="str">
        <f t="shared" si="0"/>
        <v>Watch</v>
      </c>
    </row>
    <row r="9" spans="1:4" x14ac:dyDescent="0.35">
      <c r="A9" s="2" t="s">
        <v>12</v>
      </c>
      <c r="B9" s="2">
        <v>81.861425714285716</v>
      </c>
      <c r="C9" s="2">
        <v>85.954497000000003</v>
      </c>
      <c r="D9" s="2" t="str">
        <f t="shared" si="0"/>
        <v>Watch</v>
      </c>
    </row>
    <row r="10" spans="1:4" ht="29" x14ac:dyDescent="0.35">
      <c r="A10" s="2" t="s">
        <v>39</v>
      </c>
      <c r="B10" s="2">
        <v>0.38085770523092832</v>
      </c>
      <c r="C10" s="2">
        <v>0.39990059049247467</v>
      </c>
      <c r="D10" s="2" t="str">
        <f t="shared" si="0"/>
        <v>Watch</v>
      </c>
    </row>
    <row r="11" spans="1:4" x14ac:dyDescent="0.35">
      <c r="A11" s="2" t="s">
        <v>40</v>
      </c>
      <c r="B11" s="2">
        <v>87.88715231524742</v>
      </c>
      <c r="C11" s="2">
        <v>92.281509931009793</v>
      </c>
      <c r="D11" s="2" t="str">
        <f t="shared" si="0"/>
        <v>Watch</v>
      </c>
    </row>
  </sheetData>
  <conditionalFormatting sqref="B2:B11">
    <cfRule type="colorScale" priority="1">
      <colorScale>
        <cfvo type="min"/>
        <cfvo type="percentile" val="50"/>
        <cfvo type="max"/>
        <color rgb="FFFCDAD6"/>
        <color rgb="FFFFE15B"/>
        <color rgb="FFA3D57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showGridLines="0" workbookViewId="0"/>
  </sheetViews>
  <sheetFormatPr defaultRowHeight="14.5" x14ac:dyDescent="0.35"/>
  <cols>
    <col min="1" max="2" width="22" customWidth="1"/>
  </cols>
  <sheetData>
    <row r="1" spans="1:2" x14ac:dyDescent="0.35">
      <c r="A1" s="3" t="s">
        <v>37</v>
      </c>
      <c r="B1" s="3" t="s">
        <v>38</v>
      </c>
    </row>
    <row r="2" spans="1:2" x14ac:dyDescent="0.35">
      <c r="A2" s="4" t="s">
        <v>1</v>
      </c>
      <c r="B2" s="4">
        <v>4.0264628109032348</v>
      </c>
    </row>
    <row r="3" spans="1:2" x14ac:dyDescent="0.35">
      <c r="A3" s="4" t="s">
        <v>2</v>
      </c>
      <c r="B3" s="4">
        <v>0.10652722826411121</v>
      </c>
    </row>
    <row r="4" spans="1:2" x14ac:dyDescent="0.35">
      <c r="A4" s="4" t="s">
        <v>3</v>
      </c>
      <c r="B4" s="4">
        <v>0.14197711753901379</v>
      </c>
    </row>
    <row r="5" spans="1:2" x14ac:dyDescent="0.35">
      <c r="A5" s="4" t="s">
        <v>4</v>
      </c>
      <c r="B5" s="4">
        <v>39.734656142513472</v>
      </c>
    </row>
    <row r="6" spans="1:2" x14ac:dyDescent="0.35">
      <c r="A6" s="4" t="s">
        <v>9</v>
      </c>
      <c r="B6" s="4">
        <v>0.38277777777777777</v>
      </c>
    </row>
    <row r="7" spans="1:2" ht="29" x14ac:dyDescent="0.35">
      <c r="A7" s="4" t="s">
        <v>10</v>
      </c>
      <c r="B7" s="4">
        <v>17844693.23833333</v>
      </c>
    </row>
    <row r="8" spans="1:2" x14ac:dyDescent="0.35">
      <c r="A8" s="4" t="s">
        <v>11</v>
      </c>
      <c r="B8" s="4">
        <v>6720.1984671865512</v>
      </c>
    </row>
    <row r="9" spans="1:2" x14ac:dyDescent="0.35">
      <c r="A9" s="4" t="s">
        <v>12</v>
      </c>
      <c r="B9" s="4">
        <v>81.861425714285716</v>
      </c>
    </row>
    <row r="10" spans="1:2" ht="29" x14ac:dyDescent="0.35">
      <c r="A10" s="4" t="s">
        <v>39</v>
      </c>
      <c r="B10" s="4">
        <v>0.38085770523092832</v>
      </c>
    </row>
    <row r="11" spans="1:2" x14ac:dyDescent="0.35">
      <c r="A11" s="4" t="s">
        <v>40</v>
      </c>
      <c r="B11" s="4">
        <v>87.88715231524742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showGridLines="0" workbookViewId="0"/>
  </sheetViews>
  <sheetFormatPr defaultRowHeight="14.5" x14ac:dyDescent="0.35"/>
  <cols>
    <col min="1" max="2" width="22" customWidth="1"/>
  </cols>
  <sheetData>
    <row r="1" spans="1:2" ht="47" x14ac:dyDescent="0.35">
      <c r="A1" s="1" t="s">
        <v>60</v>
      </c>
      <c r="B1" s="2"/>
    </row>
    <row r="2" spans="1:2" x14ac:dyDescent="0.35">
      <c r="A2" s="2"/>
      <c r="B2" s="2"/>
    </row>
    <row r="3" spans="1:2" ht="130.5" x14ac:dyDescent="0.35">
      <c r="A3" s="2" t="s">
        <v>61</v>
      </c>
      <c r="B3" s="2"/>
    </row>
    <row r="4" spans="1:2" x14ac:dyDescent="0.35">
      <c r="A4" s="2"/>
      <c r="B4" s="2"/>
    </row>
    <row r="5" spans="1:2" ht="43.5" x14ac:dyDescent="0.35">
      <c r="A5" s="2" t="s">
        <v>62</v>
      </c>
      <c r="B5" s="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Pivot Tables</vt:lpstr>
      <vt:lpstr>Pivot Charts</vt:lpstr>
      <vt:lpstr>Lookup Examples</vt:lpstr>
      <vt:lpstr>Data Cleaning</vt:lpstr>
      <vt:lpstr>Conditional Formatting</vt:lpstr>
      <vt:lpstr>KPI Tracking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Ravikant yadav</cp:lastModifiedBy>
  <dcterms:created xsi:type="dcterms:W3CDTF">2026-06-15T18:44:56Z</dcterms:created>
  <dcterms:modified xsi:type="dcterms:W3CDTF">2026-06-16T00:46:01Z</dcterms:modified>
</cp:coreProperties>
</file>